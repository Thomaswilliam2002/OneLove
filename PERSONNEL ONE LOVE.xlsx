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PERSONNEL" sheetId="1" r:id="rId1"/>
    <sheet name="PERSONNEL (2)" sheetId="2" r:id="rId2"/>
    <sheet name="PERSONNEL (3)" sheetId="3" r:id="rId3"/>
  </sheets>
  <definedNames>
    <definedName name="_xlnm.Print_Area" localSheetId="0">PERSONNEL!$A$1:$H$29</definedName>
    <definedName name="_xlnm.Print_Area" localSheetId="2">'PERSONNEL (3)'!$A$1:$G$42</definedName>
  </definedNames>
  <calcPr calcId="124519"/>
</workbook>
</file>

<file path=xl/calcChain.xml><?xml version="1.0" encoding="utf-8"?>
<calcChain xmlns="http://schemas.openxmlformats.org/spreadsheetml/2006/main">
  <c r="F29" i="1"/>
  <c r="A28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10"/>
  <c r="E41" i="3"/>
  <c r="E23"/>
  <c r="E17"/>
  <c r="E42" s="1"/>
  <c r="A11"/>
  <c r="A12" s="1"/>
  <c r="A13" s="1"/>
  <c r="A14" s="1"/>
  <c r="A15" s="1"/>
  <c r="A16" s="1"/>
  <c r="A19" s="1"/>
  <c r="A20" s="1"/>
  <c r="A21" s="1"/>
  <c r="A22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E34" i="2" l="1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</calcChain>
</file>

<file path=xl/sharedStrings.xml><?xml version="1.0" encoding="utf-8"?>
<sst xmlns="http://schemas.openxmlformats.org/spreadsheetml/2006/main" count="329" uniqueCount="102">
  <si>
    <t>RESIDENCE ONE LOVE</t>
  </si>
  <si>
    <t>LA LISTE DU PERSONNEL</t>
  </si>
  <si>
    <t xml:space="preserve">POSTE </t>
  </si>
  <si>
    <t>DATE DE DEBUT</t>
  </si>
  <si>
    <t>SALAIRE</t>
  </si>
  <si>
    <t>Fille de salle</t>
  </si>
  <si>
    <t>Serveur</t>
  </si>
  <si>
    <t>Caissière</t>
  </si>
  <si>
    <t>DJ</t>
  </si>
  <si>
    <t>Sécurité</t>
  </si>
  <si>
    <t>PERIODE</t>
  </si>
  <si>
    <t>Main d'œuvre</t>
  </si>
  <si>
    <t>Caissier</t>
  </si>
  <si>
    <t>Coordonnateur</t>
  </si>
  <si>
    <t>Entretien</t>
  </si>
  <si>
    <t>Comptable</t>
  </si>
  <si>
    <t>Mensuel</t>
  </si>
  <si>
    <t xml:space="preserve">PDG </t>
  </si>
  <si>
    <t xml:space="preserve">CONTACT </t>
  </si>
  <si>
    <t xml:space="preserve">TOTAL </t>
  </si>
  <si>
    <t xml:space="preserve">Manager </t>
  </si>
  <si>
    <t xml:space="preserve">Caissier </t>
  </si>
  <si>
    <t xml:space="preserve">DJ </t>
  </si>
  <si>
    <t>N°</t>
  </si>
  <si>
    <t>ANGELO ALEXANDRO</t>
  </si>
  <si>
    <t>QUENUM Wisdom</t>
  </si>
  <si>
    <t xml:space="preserve">FASSINOU V. Hippolyte </t>
  </si>
  <si>
    <t>MONA Omer</t>
  </si>
  <si>
    <t>DJEKPO Benoit</t>
  </si>
  <si>
    <t>SAIZONOU Perpétue</t>
  </si>
  <si>
    <t>LAWSON Joyce</t>
  </si>
  <si>
    <t>JEMY Stanislas</t>
  </si>
  <si>
    <t xml:space="preserve">DOTOU Hermann </t>
  </si>
  <si>
    <t>ELEGBEDE Blandine</t>
  </si>
  <si>
    <t>HLAHOUSSOU Florencia</t>
  </si>
  <si>
    <t>BANK Promise</t>
  </si>
  <si>
    <t>JOHN Mimi</t>
  </si>
  <si>
    <t>AMADOU Yacoubou</t>
  </si>
  <si>
    <t>HOUNKPE Etienne</t>
  </si>
  <si>
    <t>AGBAKA Midokpe</t>
  </si>
  <si>
    <t xml:space="preserve">HOUNGA LANDRY </t>
  </si>
  <si>
    <t>TOSSOU Ariane</t>
  </si>
  <si>
    <t>SOCIETE QADOSH</t>
  </si>
  <si>
    <t>NOM &amp; PRENOMS</t>
  </si>
  <si>
    <t>AWINI Cadwell</t>
  </si>
  <si>
    <t>Quinzaine</t>
  </si>
  <si>
    <t xml:space="preserve">HOUNSA-SOSSOU Gilchrist </t>
  </si>
  <si>
    <t xml:space="preserve">KOUMABE Yvette </t>
  </si>
  <si>
    <t>DEGANOS Annick</t>
  </si>
  <si>
    <t>AMELINA Emmanuela</t>
  </si>
  <si>
    <t>ADJENIYA Olivier</t>
  </si>
  <si>
    <t>Danseuse</t>
  </si>
  <si>
    <t>FOLLY Ella</t>
  </si>
  <si>
    <t>OSHO Jules</t>
  </si>
  <si>
    <t>Caissier Central</t>
  </si>
  <si>
    <t>M. Faudel</t>
  </si>
  <si>
    <t>Manager Général</t>
  </si>
  <si>
    <t>MONHOU Romuald</t>
  </si>
  <si>
    <t>Hebdomadaire</t>
  </si>
  <si>
    <t>ADMINISTRATION</t>
  </si>
  <si>
    <t>BAR SIMPLE 1</t>
  </si>
  <si>
    <t>CRAZY CLUB</t>
  </si>
  <si>
    <t>TOTAL 1</t>
  </si>
  <si>
    <t>TOTAL 2</t>
  </si>
  <si>
    <t>TOTAL 3</t>
  </si>
  <si>
    <t>TOTAL GENERAL</t>
  </si>
  <si>
    <t>ADEKOUNDE Yasmine</t>
  </si>
  <si>
    <t>FABGBEDJI Yémi</t>
  </si>
  <si>
    <t>HOUNOUVI Bernadette</t>
  </si>
  <si>
    <t>0166870072</t>
  </si>
  <si>
    <t>0165487529</t>
  </si>
  <si>
    <t>0161654894</t>
  </si>
  <si>
    <t>0197694291</t>
  </si>
  <si>
    <t>0151828521</t>
  </si>
  <si>
    <t>0196774998</t>
  </si>
  <si>
    <t>0140661624</t>
  </si>
  <si>
    <t>0167291498</t>
  </si>
  <si>
    <t>+234 904 218 7886</t>
  </si>
  <si>
    <t>0159713306</t>
  </si>
  <si>
    <t>0161894834</t>
  </si>
  <si>
    <t>0160842610</t>
  </si>
  <si>
    <t>0191928488</t>
  </si>
  <si>
    <t>0151580590</t>
  </si>
  <si>
    <t>0197825851</t>
  </si>
  <si>
    <t>+228 70226211</t>
  </si>
  <si>
    <t>0164433722</t>
  </si>
  <si>
    <t>0157821319</t>
  </si>
  <si>
    <t>0166474212</t>
  </si>
  <si>
    <t>0148411730</t>
  </si>
  <si>
    <t>0159334041</t>
  </si>
  <si>
    <t>0145755407</t>
  </si>
  <si>
    <t>0161627233</t>
  </si>
  <si>
    <t>0162641709</t>
  </si>
  <si>
    <t>0191264221</t>
  </si>
  <si>
    <t>DJALADO Alimatou</t>
  </si>
  <si>
    <t>0196988569</t>
  </si>
  <si>
    <t>OUT LE 06/07</t>
  </si>
  <si>
    <t>OUT LE 14/07</t>
  </si>
  <si>
    <t>OUT</t>
  </si>
  <si>
    <t>OUT LE 17/07</t>
  </si>
  <si>
    <t>DEPARTEMENT</t>
  </si>
  <si>
    <t xml:space="preserve">BAR SIMPLE 1 </t>
  </si>
</sst>
</file>

<file path=xl/styles.xml><?xml version="1.0" encoding="utf-8"?>
<styleSheet xmlns="http://schemas.openxmlformats.org/spreadsheetml/2006/main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4">
    <font>
      <sz val="11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Gill Sans MT"/>
      <family val="2"/>
    </font>
    <font>
      <sz val="11"/>
      <color theme="1"/>
      <name val="Gill Sans MT"/>
      <family val="2"/>
    </font>
    <font>
      <b/>
      <sz val="12"/>
      <color theme="1"/>
      <name val="Aharoni"/>
      <charset val="177"/>
    </font>
    <font>
      <b/>
      <sz val="18"/>
      <color theme="1"/>
      <name val="Aharoni"/>
      <charset val="177"/>
    </font>
    <font>
      <b/>
      <sz val="18"/>
      <color theme="1"/>
      <name val="BatangChe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b/>
      <sz val="11"/>
      <color theme="1"/>
      <name val="Comic Sans MS"/>
      <family val="4"/>
    </font>
    <font>
      <b/>
      <sz val="11"/>
      <color theme="1"/>
      <name val="Gill Sans MT"/>
      <family val="2"/>
    </font>
    <font>
      <b/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/>
    <xf numFmtId="0" fontId="5" fillId="0" borderId="1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12" fillId="0" borderId="4" xfId="1" applyNumberFormat="1" applyFont="1" applyBorder="1" applyAlignment="1">
      <alignment horizontal="center" vertical="center"/>
    </xf>
    <xf numFmtId="0" fontId="9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1531329</xdr:colOff>
      <xdr:row>0</xdr:row>
      <xdr:rowOff>29308</xdr:rowOff>
    </xdr:from>
    <xdr:to>
      <xdr:col>2</xdr:col>
      <xdr:colOff>641653</xdr:colOff>
      <xdr:row>4</xdr:row>
      <xdr:rowOff>175846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1790859-4F4C-8A5C-8C5F-28FE8DBA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4406" y="29308"/>
          <a:ext cx="942055" cy="908538"/>
        </a:xfrm>
        <a:prstGeom prst="rect">
          <a:avLst/>
        </a:prstGeom>
      </xdr:spPr>
    </xdr:pic>
    <xdr:clientData/>
  </xdr:twoCellAnchor>
  <xdr:twoCellAnchor editAs="oneCell">
    <xdr:from>
      <xdr:col>2</xdr:col>
      <xdr:colOff>600805</xdr:colOff>
      <xdr:row>0</xdr:row>
      <xdr:rowOff>95251</xdr:rowOff>
    </xdr:from>
    <xdr:to>
      <xdr:col>5</xdr:col>
      <xdr:colOff>978042</xdr:colOff>
      <xdr:row>4</xdr:row>
      <xdr:rowOff>135891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9F0A1A9-CD01-00E9-487B-780AA81D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5613" y="95251"/>
          <a:ext cx="3645044" cy="80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351693</xdr:colOff>
      <xdr:row>0</xdr:row>
      <xdr:rowOff>29308</xdr:rowOff>
    </xdr:from>
    <xdr:to>
      <xdr:col>1</xdr:col>
      <xdr:colOff>1293748</xdr:colOff>
      <xdr:row>4</xdr:row>
      <xdr:rowOff>175846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51790859-4F4C-8A5C-8C5F-28FE8DBA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968" y="29308"/>
          <a:ext cx="942055" cy="908538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1465384</xdr:colOff>
      <xdr:row>0</xdr:row>
      <xdr:rowOff>95251</xdr:rowOff>
    </xdr:from>
    <xdr:to>
      <xdr:col>5</xdr:col>
      <xdr:colOff>260005</xdr:colOff>
      <xdr:row>4</xdr:row>
      <xdr:rowOff>135891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9F0A1A9-CD01-00E9-487B-780AA81D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659" y="95251"/>
          <a:ext cx="3642846" cy="80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H30"/>
  <sheetViews>
    <sheetView showGridLines="0" tabSelected="1" topLeftCell="A8" zoomScaleSheetLayoutView="100" workbookViewId="0">
      <selection activeCell="D23" sqref="D23"/>
    </sheetView>
  </sheetViews>
  <sheetFormatPr baseColWidth="10" defaultRowHeight="15"/>
  <cols>
    <col min="1" max="1" width="4.42578125" customWidth="1"/>
    <col min="2" max="2" width="27.42578125" style="3" bestFit="1" customWidth="1"/>
    <col min="3" max="3" width="15.42578125" style="3" bestFit="1" customWidth="1"/>
    <col min="4" max="4" width="18.85546875" style="4" bestFit="1" customWidth="1"/>
    <col min="5" max="5" width="14.7109375" style="4" customWidth="1"/>
    <col min="6" max="6" width="15.140625" style="8" bestFit="1" customWidth="1"/>
    <col min="7" max="7" width="13.7109375" bestFit="1" customWidth="1"/>
    <col min="8" max="8" width="18.140625" style="41" bestFit="1" customWidth="1"/>
  </cols>
  <sheetData>
    <row r="6" spans="1:8" ht="20.25">
      <c r="A6" s="48" t="s">
        <v>1</v>
      </c>
      <c r="B6" s="48"/>
      <c r="C6" s="48"/>
      <c r="D6" s="48"/>
      <c r="E6" s="48"/>
      <c r="F6" s="48"/>
      <c r="G6" s="48"/>
      <c r="H6" s="48"/>
    </row>
    <row r="7" spans="1:8" ht="15.75" customHeight="1">
      <c r="A7" s="1"/>
      <c r="B7" s="2"/>
      <c r="C7" s="2"/>
      <c r="D7" s="6"/>
      <c r="E7" s="6"/>
      <c r="F7" s="7"/>
      <c r="G7" s="1"/>
      <c r="H7" s="40"/>
    </row>
    <row r="8" spans="1:8" s="5" customFormat="1" ht="31.5">
      <c r="A8" s="34" t="s">
        <v>23</v>
      </c>
      <c r="B8" s="34" t="s">
        <v>43</v>
      </c>
      <c r="C8" s="34" t="s">
        <v>2</v>
      </c>
      <c r="D8" s="34" t="s">
        <v>100</v>
      </c>
      <c r="E8" s="35" t="s">
        <v>3</v>
      </c>
      <c r="F8" s="36" t="s">
        <v>4</v>
      </c>
      <c r="G8" s="34" t="s">
        <v>10</v>
      </c>
      <c r="H8" s="37" t="s">
        <v>18</v>
      </c>
    </row>
    <row r="9" spans="1:8" ht="21" customHeight="1">
      <c r="A9" s="10">
        <v>1</v>
      </c>
      <c r="B9" s="22" t="s">
        <v>66</v>
      </c>
      <c r="C9" s="22" t="s">
        <v>5</v>
      </c>
      <c r="D9" s="25" t="s">
        <v>61</v>
      </c>
      <c r="E9" s="23">
        <v>45843</v>
      </c>
      <c r="F9" s="24">
        <v>40000</v>
      </c>
      <c r="G9" s="25" t="s">
        <v>45</v>
      </c>
      <c r="H9" s="38" t="s">
        <v>92</v>
      </c>
    </row>
    <row r="10" spans="1:8" ht="21" customHeight="1">
      <c r="A10" s="10">
        <f t="shared" ref="A10:A28" si="0">1+A9</f>
        <v>2</v>
      </c>
      <c r="B10" s="22" t="s">
        <v>50</v>
      </c>
      <c r="C10" s="22" t="s">
        <v>8</v>
      </c>
      <c r="D10" s="25" t="s">
        <v>61</v>
      </c>
      <c r="E10" s="23">
        <v>45813</v>
      </c>
      <c r="F10" s="24">
        <v>40000</v>
      </c>
      <c r="G10" s="25" t="s">
        <v>45</v>
      </c>
      <c r="H10" s="38" t="s">
        <v>79</v>
      </c>
    </row>
    <row r="11" spans="1:8" ht="21" customHeight="1">
      <c r="A11" s="10">
        <f t="shared" si="0"/>
        <v>3</v>
      </c>
      <c r="B11" s="22" t="s">
        <v>24</v>
      </c>
      <c r="C11" s="22" t="s">
        <v>17</v>
      </c>
      <c r="D11" s="25" t="s">
        <v>59</v>
      </c>
      <c r="E11" s="25"/>
      <c r="F11" s="24">
        <v>500000</v>
      </c>
      <c r="G11" s="25" t="s">
        <v>16</v>
      </c>
      <c r="H11" s="38" t="s">
        <v>69</v>
      </c>
    </row>
    <row r="12" spans="1:8" ht="21" customHeight="1">
      <c r="A12" s="10">
        <f t="shared" si="0"/>
        <v>4</v>
      </c>
      <c r="B12" s="22" t="s">
        <v>44</v>
      </c>
      <c r="C12" s="22" t="s">
        <v>6</v>
      </c>
      <c r="D12" s="25" t="s">
        <v>61</v>
      </c>
      <c r="E12" s="23">
        <v>45776</v>
      </c>
      <c r="F12" s="24">
        <v>40000</v>
      </c>
      <c r="G12" s="25" t="s">
        <v>16</v>
      </c>
      <c r="H12" s="38" t="s">
        <v>82</v>
      </c>
    </row>
    <row r="13" spans="1:8" ht="21" customHeight="1">
      <c r="A13" s="10">
        <f t="shared" si="0"/>
        <v>5</v>
      </c>
      <c r="B13" s="22" t="s">
        <v>48</v>
      </c>
      <c r="C13" s="22" t="s">
        <v>51</v>
      </c>
      <c r="D13" s="25" t="s">
        <v>61</v>
      </c>
      <c r="E13" s="23">
        <v>45799</v>
      </c>
      <c r="F13" s="24">
        <v>50000</v>
      </c>
      <c r="G13" s="25" t="s">
        <v>45</v>
      </c>
      <c r="H13" s="38" t="s">
        <v>83</v>
      </c>
    </row>
    <row r="14" spans="1:8" ht="21" customHeight="1">
      <c r="A14" s="10">
        <f t="shared" si="0"/>
        <v>6</v>
      </c>
      <c r="B14" s="22" t="s">
        <v>94</v>
      </c>
      <c r="C14" s="22" t="s">
        <v>5</v>
      </c>
      <c r="D14" s="25" t="s">
        <v>61</v>
      </c>
      <c r="E14" s="23">
        <v>45847</v>
      </c>
      <c r="F14" s="24">
        <v>40000</v>
      </c>
      <c r="G14" s="25" t="s">
        <v>45</v>
      </c>
      <c r="H14" s="38" t="s">
        <v>95</v>
      </c>
    </row>
    <row r="15" spans="1:8" ht="21" customHeight="1">
      <c r="A15" s="10">
        <f t="shared" si="0"/>
        <v>7</v>
      </c>
      <c r="B15" s="22" t="s">
        <v>28</v>
      </c>
      <c r="C15" s="22" t="s">
        <v>12</v>
      </c>
      <c r="D15" s="25" t="s">
        <v>101</v>
      </c>
      <c r="E15" s="25"/>
      <c r="F15" s="24">
        <v>60000</v>
      </c>
      <c r="G15" s="25" t="s">
        <v>16</v>
      </c>
      <c r="H15" s="38" t="s">
        <v>76</v>
      </c>
    </row>
    <row r="16" spans="1:8" ht="21" customHeight="1">
      <c r="A16" s="10">
        <f t="shared" si="0"/>
        <v>8</v>
      </c>
      <c r="B16" s="22" t="s">
        <v>67</v>
      </c>
      <c r="C16" s="22" t="s">
        <v>5</v>
      </c>
      <c r="D16" s="25" t="s">
        <v>61</v>
      </c>
      <c r="E16" s="23">
        <v>45843</v>
      </c>
      <c r="F16" s="24">
        <v>40000</v>
      </c>
      <c r="G16" s="25" t="s">
        <v>45</v>
      </c>
      <c r="H16" s="38" t="s">
        <v>93</v>
      </c>
    </row>
    <row r="17" spans="1:8" ht="21" customHeight="1">
      <c r="A17" s="10">
        <f t="shared" si="0"/>
        <v>9</v>
      </c>
      <c r="B17" s="22" t="s">
        <v>26</v>
      </c>
      <c r="C17" s="22" t="s">
        <v>15</v>
      </c>
      <c r="D17" s="25" t="s">
        <v>59</v>
      </c>
      <c r="E17" s="23">
        <v>45793</v>
      </c>
      <c r="F17" s="24">
        <v>100000</v>
      </c>
      <c r="G17" s="25" t="s">
        <v>16</v>
      </c>
      <c r="H17" s="38" t="s">
        <v>70</v>
      </c>
    </row>
    <row r="18" spans="1:8" ht="21" customHeight="1">
      <c r="A18" s="10">
        <f t="shared" si="0"/>
        <v>10</v>
      </c>
      <c r="B18" s="22" t="s">
        <v>52</v>
      </c>
      <c r="C18" s="22" t="s">
        <v>5</v>
      </c>
      <c r="D18" s="25" t="s">
        <v>61</v>
      </c>
      <c r="E18" s="23">
        <v>45819</v>
      </c>
      <c r="F18" s="24">
        <v>40000</v>
      </c>
      <c r="G18" s="25" t="s">
        <v>45</v>
      </c>
      <c r="H18" s="38" t="s">
        <v>84</v>
      </c>
    </row>
    <row r="19" spans="1:8" ht="21" customHeight="1">
      <c r="A19" s="10">
        <f t="shared" si="0"/>
        <v>11</v>
      </c>
      <c r="B19" s="22" t="s">
        <v>40</v>
      </c>
      <c r="C19" s="22" t="s">
        <v>22</v>
      </c>
      <c r="D19" s="25" t="s">
        <v>101</v>
      </c>
      <c r="E19" s="23"/>
      <c r="F19" s="24">
        <v>40000</v>
      </c>
      <c r="G19" s="25" t="s">
        <v>45</v>
      </c>
      <c r="H19" s="38" t="s">
        <v>78</v>
      </c>
    </row>
    <row r="20" spans="1:8" ht="21" customHeight="1">
      <c r="A20" s="10">
        <f t="shared" si="0"/>
        <v>12</v>
      </c>
      <c r="B20" s="22" t="s">
        <v>38</v>
      </c>
      <c r="C20" s="22" t="s">
        <v>11</v>
      </c>
      <c r="D20" s="25" t="s">
        <v>61</v>
      </c>
      <c r="E20" s="23">
        <v>45802</v>
      </c>
      <c r="F20" s="24">
        <v>40000</v>
      </c>
      <c r="G20" s="25" t="s">
        <v>45</v>
      </c>
      <c r="H20" s="38" t="s">
        <v>86</v>
      </c>
    </row>
    <row r="21" spans="1:8" ht="21" customHeight="1">
      <c r="A21" s="10">
        <f t="shared" si="0"/>
        <v>13</v>
      </c>
      <c r="B21" s="22" t="s">
        <v>46</v>
      </c>
      <c r="C21" s="22" t="s">
        <v>21</v>
      </c>
      <c r="D21" s="25" t="s">
        <v>61</v>
      </c>
      <c r="E21" s="23">
        <v>45791</v>
      </c>
      <c r="F21" s="24">
        <v>50000</v>
      </c>
      <c r="G21" s="25" t="s">
        <v>45</v>
      </c>
      <c r="H21" s="38" t="s">
        <v>87</v>
      </c>
    </row>
    <row r="22" spans="1:8" ht="21" customHeight="1">
      <c r="A22" s="10">
        <f t="shared" si="0"/>
        <v>14</v>
      </c>
      <c r="B22" s="22" t="s">
        <v>36</v>
      </c>
      <c r="C22" s="22" t="s">
        <v>5</v>
      </c>
      <c r="D22" s="25" t="s">
        <v>61</v>
      </c>
      <c r="E22" s="23">
        <v>45791</v>
      </c>
      <c r="F22" s="24">
        <v>40000</v>
      </c>
      <c r="G22" s="25" t="s">
        <v>45</v>
      </c>
      <c r="H22" s="38" t="s">
        <v>89</v>
      </c>
    </row>
    <row r="23" spans="1:8" ht="21" customHeight="1">
      <c r="A23" s="10">
        <f t="shared" si="0"/>
        <v>15</v>
      </c>
      <c r="B23" s="22" t="s">
        <v>27</v>
      </c>
      <c r="C23" s="22" t="s">
        <v>20</v>
      </c>
      <c r="D23" s="25" t="s">
        <v>61</v>
      </c>
      <c r="E23" s="23">
        <v>45809</v>
      </c>
      <c r="F23" s="24">
        <v>50000</v>
      </c>
      <c r="G23" s="25" t="s">
        <v>45</v>
      </c>
      <c r="H23" s="38" t="s">
        <v>90</v>
      </c>
    </row>
    <row r="24" spans="1:8" ht="21" customHeight="1">
      <c r="A24" s="10">
        <f t="shared" si="0"/>
        <v>16</v>
      </c>
      <c r="B24" s="22" t="s">
        <v>53</v>
      </c>
      <c r="C24" s="22" t="s">
        <v>54</v>
      </c>
      <c r="D24" s="25" t="s">
        <v>59</v>
      </c>
      <c r="E24" s="23">
        <v>45833</v>
      </c>
      <c r="F24" s="24">
        <v>50000</v>
      </c>
      <c r="G24" s="25" t="s">
        <v>58</v>
      </c>
      <c r="H24" s="38" t="s">
        <v>72</v>
      </c>
    </row>
    <row r="25" spans="1:8" ht="21" customHeight="1">
      <c r="A25" s="10">
        <f t="shared" si="0"/>
        <v>17</v>
      </c>
      <c r="B25" s="22" t="s">
        <v>25</v>
      </c>
      <c r="C25" s="11" t="s">
        <v>13</v>
      </c>
      <c r="D25" s="10" t="s">
        <v>59</v>
      </c>
      <c r="E25" s="14">
        <v>45725</v>
      </c>
      <c r="F25" s="12">
        <v>100000</v>
      </c>
      <c r="G25" s="10" t="s">
        <v>16</v>
      </c>
      <c r="H25" s="39" t="s">
        <v>73</v>
      </c>
    </row>
    <row r="26" spans="1:8" ht="21" customHeight="1">
      <c r="A26" s="10">
        <f t="shared" si="0"/>
        <v>18</v>
      </c>
      <c r="B26" s="22" t="s">
        <v>29</v>
      </c>
      <c r="C26" s="11" t="s">
        <v>7</v>
      </c>
      <c r="D26" s="10" t="s">
        <v>61</v>
      </c>
      <c r="E26" s="14">
        <v>45398</v>
      </c>
      <c r="F26" s="12">
        <v>50000</v>
      </c>
      <c r="G26" s="10" t="s">
        <v>16</v>
      </c>
      <c r="H26" s="39" t="s">
        <v>91</v>
      </c>
    </row>
    <row r="27" spans="1:8" ht="21" customHeight="1">
      <c r="A27" s="10">
        <f t="shared" si="0"/>
        <v>19</v>
      </c>
      <c r="B27" s="22" t="s">
        <v>42</v>
      </c>
      <c r="C27" s="11" t="s">
        <v>9</v>
      </c>
      <c r="D27" s="10" t="s">
        <v>59</v>
      </c>
      <c r="E27" s="14">
        <v>45766</v>
      </c>
      <c r="F27" s="12">
        <v>70000</v>
      </c>
      <c r="G27" s="10" t="s">
        <v>16</v>
      </c>
      <c r="H27" s="39" t="s">
        <v>74</v>
      </c>
    </row>
    <row r="28" spans="1:8" ht="21" customHeight="1">
      <c r="A28" s="10">
        <f>1+A27</f>
        <v>20</v>
      </c>
      <c r="B28" s="22" t="s">
        <v>41</v>
      </c>
      <c r="C28" s="11" t="s">
        <v>14</v>
      </c>
      <c r="D28" s="10" t="s">
        <v>59</v>
      </c>
      <c r="E28" s="10"/>
      <c r="F28" s="12">
        <v>40000</v>
      </c>
      <c r="G28" s="10" t="s">
        <v>16</v>
      </c>
      <c r="H28" s="39" t="s">
        <v>75</v>
      </c>
    </row>
    <row r="29" spans="1:8" s="21" customFormat="1" ht="19.5">
      <c r="A29" s="54" t="s">
        <v>65</v>
      </c>
      <c r="B29" s="55"/>
      <c r="C29" s="55"/>
      <c r="D29" s="55"/>
      <c r="E29" s="56"/>
      <c r="F29" s="19">
        <f>SUM(F9:F28)</f>
        <v>1480000</v>
      </c>
      <c r="G29" s="59"/>
      <c r="H29" s="60"/>
    </row>
    <row r="30" spans="1:8" ht="34.5" customHeight="1">
      <c r="A30" s="47"/>
      <c r="B30" s="47"/>
      <c r="C30" s="47"/>
      <c r="D30" s="47"/>
      <c r="E30" s="47"/>
      <c r="F30" s="47"/>
      <c r="G30" s="47"/>
      <c r="H30" s="47"/>
    </row>
  </sheetData>
  <sortState ref="A9:H28">
    <sortCondition ref="B9:B28"/>
  </sortState>
  <mergeCells count="4">
    <mergeCell ref="A30:H30"/>
    <mergeCell ref="A6:H6"/>
    <mergeCell ref="A29:E29"/>
    <mergeCell ref="G29:H2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ignoredErrors>
    <ignoredError sqref="H9:H2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view="pageBreakPreview" topLeftCell="A18" zoomScale="130" zoomScaleSheetLayoutView="130" workbookViewId="0">
      <selection activeCell="B15" sqref="B15"/>
    </sheetView>
  </sheetViews>
  <sheetFormatPr baseColWidth="10" defaultRowHeight="15"/>
  <cols>
    <col min="1" max="1" width="4.42578125" customWidth="1"/>
    <col min="2" max="2" width="27.42578125" style="3" bestFit="1" customWidth="1"/>
    <col min="3" max="3" width="15.42578125" style="3" bestFit="1" customWidth="1"/>
    <col min="4" max="4" width="14.7109375" style="4" customWidth="1"/>
    <col min="5" max="5" width="15.140625" style="8" bestFit="1" customWidth="1"/>
    <col min="6" max="6" width="10.28515625" bestFit="1" customWidth="1"/>
    <col min="7" max="7" width="11.7109375" bestFit="1" customWidth="1"/>
  </cols>
  <sheetData>
    <row r="1" spans="1:7" ht="23.25">
      <c r="A1" s="61" t="s">
        <v>0</v>
      </c>
      <c r="B1" s="61"/>
      <c r="C1" s="61"/>
      <c r="D1" s="61"/>
      <c r="E1" s="61"/>
      <c r="F1" s="61"/>
      <c r="G1" s="61"/>
    </row>
    <row r="2" spans="1:7" ht="22.5">
      <c r="A2" s="62" t="s">
        <v>1</v>
      </c>
      <c r="B2" s="62"/>
      <c r="C2" s="62"/>
      <c r="D2" s="62"/>
      <c r="E2" s="62"/>
      <c r="F2" s="62"/>
      <c r="G2" s="62"/>
    </row>
    <row r="3" spans="1:7" ht="15.75" customHeight="1">
      <c r="A3" s="1"/>
      <c r="B3" s="2"/>
      <c r="C3" s="2"/>
      <c r="D3" s="6"/>
      <c r="E3" s="7"/>
      <c r="F3" s="1"/>
      <c r="G3" s="1"/>
    </row>
    <row r="4" spans="1:7" s="5" customFormat="1" ht="31.5">
      <c r="A4" s="15" t="s">
        <v>23</v>
      </c>
      <c r="B4" s="15" t="s">
        <v>43</v>
      </c>
      <c r="C4" s="15" t="s">
        <v>2</v>
      </c>
      <c r="D4" s="16" t="s">
        <v>3</v>
      </c>
      <c r="E4" s="17" t="s">
        <v>4</v>
      </c>
      <c r="F4" s="15" t="s">
        <v>10</v>
      </c>
      <c r="G4" s="15" t="s">
        <v>18</v>
      </c>
    </row>
    <row r="5" spans="1:7" ht="17.25">
      <c r="A5" s="10">
        <v>1</v>
      </c>
      <c r="B5" s="22" t="s">
        <v>50</v>
      </c>
      <c r="C5" s="22" t="s">
        <v>8</v>
      </c>
      <c r="D5" s="23">
        <v>45813</v>
      </c>
      <c r="E5" s="24">
        <v>80000</v>
      </c>
      <c r="F5" s="25" t="s">
        <v>16</v>
      </c>
      <c r="G5" s="26"/>
    </row>
    <row r="6" spans="1:7" ht="17.25">
      <c r="A6" s="10">
        <f t="shared" ref="A6:A33" si="0">1+A5</f>
        <v>2</v>
      </c>
      <c r="B6" s="22" t="s">
        <v>39</v>
      </c>
      <c r="C6" s="11" t="s">
        <v>8</v>
      </c>
      <c r="D6" s="14">
        <v>45743</v>
      </c>
      <c r="E6" s="12">
        <v>80000</v>
      </c>
      <c r="F6" s="10" t="s">
        <v>16</v>
      </c>
      <c r="G6" s="13">
        <v>60842610</v>
      </c>
    </row>
    <row r="7" spans="1:7" ht="17.25">
      <c r="A7" s="27">
        <f t="shared" si="0"/>
        <v>3</v>
      </c>
      <c r="B7" s="28" t="s">
        <v>37</v>
      </c>
      <c r="C7" s="28" t="s">
        <v>11</v>
      </c>
      <c r="D7" s="29">
        <v>45663</v>
      </c>
      <c r="E7" s="30">
        <v>40000</v>
      </c>
      <c r="F7" s="27" t="s">
        <v>45</v>
      </c>
      <c r="G7" s="31">
        <v>59182438</v>
      </c>
    </row>
    <row r="8" spans="1:7" ht="17.25">
      <c r="A8" s="25">
        <f>1+A7</f>
        <v>4</v>
      </c>
      <c r="B8" s="22" t="s">
        <v>49</v>
      </c>
      <c r="C8" s="22" t="s">
        <v>5</v>
      </c>
      <c r="D8" s="23">
        <v>45811</v>
      </c>
      <c r="E8" s="24">
        <v>40000</v>
      </c>
      <c r="F8" s="27" t="s">
        <v>45</v>
      </c>
      <c r="G8" s="26"/>
    </row>
    <row r="9" spans="1:7" ht="17.25">
      <c r="A9" s="27">
        <f t="shared" si="0"/>
        <v>5</v>
      </c>
      <c r="B9" s="28" t="s">
        <v>24</v>
      </c>
      <c r="C9" s="28" t="s">
        <v>17</v>
      </c>
      <c r="D9" s="27"/>
      <c r="E9" s="30">
        <v>500000</v>
      </c>
      <c r="F9" s="27" t="s">
        <v>16</v>
      </c>
      <c r="G9" s="31">
        <v>66870072</v>
      </c>
    </row>
    <row r="10" spans="1:7" ht="17.25">
      <c r="A10" s="25">
        <f t="shared" si="0"/>
        <v>6</v>
      </c>
      <c r="B10" s="22" t="s">
        <v>44</v>
      </c>
      <c r="C10" s="22" t="s">
        <v>6</v>
      </c>
      <c r="D10" s="23">
        <v>45776</v>
      </c>
      <c r="E10" s="24">
        <v>50000</v>
      </c>
      <c r="F10" s="25" t="s">
        <v>16</v>
      </c>
      <c r="G10" s="26">
        <v>51580590</v>
      </c>
    </row>
    <row r="11" spans="1:7" ht="17.25">
      <c r="A11" s="27">
        <f t="shared" si="0"/>
        <v>7</v>
      </c>
      <c r="B11" s="28" t="s">
        <v>35</v>
      </c>
      <c r="C11" s="28" t="s">
        <v>5</v>
      </c>
      <c r="D11" s="29">
        <v>45787</v>
      </c>
      <c r="E11" s="30">
        <v>40000</v>
      </c>
      <c r="F11" s="27" t="s">
        <v>45</v>
      </c>
      <c r="G11" s="31"/>
    </row>
    <row r="12" spans="1:7" ht="17.25">
      <c r="A12" s="25">
        <f t="shared" si="0"/>
        <v>8</v>
      </c>
      <c r="B12" s="22" t="s">
        <v>48</v>
      </c>
      <c r="C12" s="22" t="s">
        <v>51</v>
      </c>
      <c r="D12" s="23">
        <v>45799</v>
      </c>
      <c r="E12" s="24">
        <v>60000</v>
      </c>
      <c r="F12" s="25" t="s">
        <v>45</v>
      </c>
      <c r="G12" s="26">
        <v>97825851</v>
      </c>
    </row>
    <row r="13" spans="1:7" ht="17.25">
      <c r="A13" s="25">
        <f t="shared" si="0"/>
        <v>9</v>
      </c>
      <c r="B13" s="22" t="s">
        <v>28</v>
      </c>
      <c r="C13" s="22" t="s">
        <v>12</v>
      </c>
      <c r="D13" s="25"/>
      <c r="E13" s="24">
        <v>60000</v>
      </c>
      <c r="F13" s="25" t="s">
        <v>16</v>
      </c>
      <c r="G13" s="26">
        <v>67291498</v>
      </c>
    </row>
    <row r="14" spans="1:7" ht="17.25">
      <c r="A14" s="25">
        <f t="shared" si="0"/>
        <v>10</v>
      </c>
      <c r="B14" s="22" t="s">
        <v>32</v>
      </c>
      <c r="C14" s="22" t="s">
        <v>6</v>
      </c>
      <c r="D14" s="23">
        <v>45794</v>
      </c>
      <c r="E14" s="24">
        <v>50000</v>
      </c>
      <c r="F14" s="27" t="s">
        <v>45</v>
      </c>
      <c r="G14" s="26"/>
    </row>
    <row r="15" spans="1:7" ht="17.25">
      <c r="A15" s="25">
        <f t="shared" si="0"/>
        <v>11</v>
      </c>
      <c r="B15" s="22" t="s">
        <v>33</v>
      </c>
      <c r="C15" s="22" t="s">
        <v>5</v>
      </c>
      <c r="D15" s="23">
        <v>45765</v>
      </c>
      <c r="E15" s="24">
        <v>40000</v>
      </c>
      <c r="F15" s="27" t="s">
        <v>45</v>
      </c>
      <c r="G15" s="26">
        <v>51929472</v>
      </c>
    </row>
    <row r="16" spans="1:7" ht="17.25">
      <c r="A16" s="25">
        <f t="shared" si="0"/>
        <v>12</v>
      </c>
      <c r="B16" s="22" t="s">
        <v>26</v>
      </c>
      <c r="C16" s="22" t="s">
        <v>15</v>
      </c>
      <c r="D16" s="23">
        <v>45793</v>
      </c>
      <c r="E16" s="24">
        <v>100000</v>
      </c>
      <c r="F16" s="25" t="s">
        <v>16</v>
      </c>
      <c r="G16" s="26">
        <v>65487529</v>
      </c>
    </row>
    <row r="17" spans="1:7" ht="17.25">
      <c r="A17" s="25">
        <f t="shared" si="0"/>
        <v>13</v>
      </c>
      <c r="B17" s="22" t="s">
        <v>52</v>
      </c>
      <c r="C17" s="22" t="s">
        <v>5</v>
      </c>
      <c r="D17" s="23">
        <v>45819</v>
      </c>
      <c r="E17" s="24">
        <v>40000</v>
      </c>
      <c r="F17" s="27" t="s">
        <v>45</v>
      </c>
      <c r="G17" s="26"/>
    </row>
    <row r="18" spans="1:7" ht="17.25">
      <c r="A18" s="25">
        <f t="shared" si="0"/>
        <v>14</v>
      </c>
      <c r="B18" s="22" t="s">
        <v>34</v>
      </c>
      <c r="C18" s="22" t="s">
        <v>5</v>
      </c>
      <c r="D18" s="23">
        <v>45764</v>
      </c>
      <c r="E18" s="24">
        <v>40000</v>
      </c>
      <c r="F18" s="27" t="s">
        <v>45</v>
      </c>
      <c r="G18" s="26">
        <v>51528164</v>
      </c>
    </row>
    <row r="19" spans="1:7" ht="17.25">
      <c r="A19" s="25">
        <f t="shared" si="0"/>
        <v>15</v>
      </c>
      <c r="B19" s="22" t="s">
        <v>40</v>
      </c>
      <c r="C19" s="22" t="s">
        <v>22</v>
      </c>
      <c r="D19" s="23"/>
      <c r="E19" s="24">
        <v>40000</v>
      </c>
      <c r="F19" s="25" t="s">
        <v>16</v>
      </c>
      <c r="G19" s="26"/>
    </row>
    <row r="20" spans="1:7" ht="17.25">
      <c r="A20" s="25">
        <f t="shared" si="0"/>
        <v>16</v>
      </c>
      <c r="B20" s="22" t="s">
        <v>38</v>
      </c>
      <c r="C20" s="22" t="s">
        <v>11</v>
      </c>
      <c r="D20" s="23">
        <v>45802</v>
      </c>
      <c r="E20" s="24">
        <v>40000</v>
      </c>
      <c r="F20" s="27" t="s">
        <v>45</v>
      </c>
      <c r="G20" s="26">
        <v>57821319</v>
      </c>
    </row>
    <row r="21" spans="1:7" ht="17.25">
      <c r="A21" s="25">
        <f t="shared" si="0"/>
        <v>17</v>
      </c>
      <c r="B21" s="22" t="s">
        <v>46</v>
      </c>
      <c r="C21" s="22" t="s">
        <v>21</v>
      </c>
      <c r="D21" s="23">
        <v>45791</v>
      </c>
      <c r="E21" s="24">
        <v>60000</v>
      </c>
      <c r="F21" s="25" t="s">
        <v>16</v>
      </c>
      <c r="G21" s="26">
        <v>66474212</v>
      </c>
    </row>
    <row r="22" spans="1:7" ht="17.25">
      <c r="A22" s="25">
        <f t="shared" si="0"/>
        <v>18</v>
      </c>
      <c r="B22" s="22" t="s">
        <v>31</v>
      </c>
      <c r="C22" s="22" t="s">
        <v>6</v>
      </c>
      <c r="D22" s="23">
        <v>45743</v>
      </c>
      <c r="E22" s="24">
        <v>50000</v>
      </c>
      <c r="F22" s="25" t="s">
        <v>16</v>
      </c>
      <c r="G22" s="26">
        <v>48411730</v>
      </c>
    </row>
    <row r="23" spans="1:7" ht="17.25">
      <c r="A23" s="25">
        <f t="shared" si="0"/>
        <v>19</v>
      </c>
      <c r="B23" s="22" t="s">
        <v>36</v>
      </c>
      <c r="C23" s="22" t="s">
        <v>5</v>
      </c>
      <c r="D23" s="23">
        <v>45791</v>
      </c>
      <c r="E23" s="24">
        <v>40000</v>
      </c>
      <c r="F23" s="27" t="s">
        <v>45</v>
      </c>
      <c r="G23" s="26"/>
    </row>
    <row r="24" spans="1:7" ht="17.25">
      <c r="A24" s="25">
        <f t="shared" si="0"/>
        <v>20</v>
      </c>
      <c r="B24" s="22" t="s">
        <v>47</v>
      </c>
      <c r="C24" s="22" t="s">
        <v>5</v>
      </c>
      <c r="D24" s="23">
        <v>45795</v>
      </c>
      <c r="E24" s="24">
        <v>40000</v>
      </c>
      <c r="F24" s="27" t="s">
        <v>45</v>
      </c>
      <c r="G24" s="26"/>
    </row>
    <row r="25" spans="1:7" ht="17.25">
      <c r="A25" s="25">
        <f t="shared" si="0"/>
        <v>21</v>
      </c>
      <c r="B25" s="22" t="s">
        <v>30</v>
      </c>
      <c r="C25" s="22" t="s">
        <v>7</v>
      </c>
      <c r="D25" s="23">
        <v>45780</v>
      </c>
      <c r="E25" s="24">
        <v>60000</v>
      </c>
      <c r="F25" s="25" t="s">
        <v>16</v>
      </c>
      <c r="G25" s="26"/>
    </row>
    <row r="26" spans="1:7" ht="17.25">
      <c r="A26" s="27">
        <f t="shared" si="0"/>
        <v>22</v>
      </c>
      <c r="B26" s="28" t="s">
        <v>55</v>
      </c>
      <c r="C26" s="28" t="s">
        <v>56</v>
      </c>
      <c r="D26" s="29">
        <v>45834</v>
      </c>
      <c r="E26" s="30"/>
      <c r="F26" s="27" t="s">
        <v>16</v>
      </c>
      <c r="G26" s="31"/>
    </row>
    <row r="27" spans="1:7" ht="17.25">
      <c r="A27" s="25">
        <f t="shared" si="0"/>
        <v>23</v>
      </c>
      <c r="B27" s="22" t="s">
        <v>27</v>
      </c>
      <c r="C27" s="22" t="s">
        <v>20</v>
      </c>
      <c r="D27" s="23">
        <v>45809</v>
      </c>
      <c r="E27" s="24">
        <v>50000</v>
      </c>
      <c r="F27" s="25" t="s">
        <v>45</v>
      </c>
      <c r="G27" s="26">
        <v>45755407</v>
      </c>
    </row>
    <row r="28" spans="1:7" ht="17.25">
      <c r="A28" s="25">
        <f t="shared" si="0"/>
        <v>24</v>
      </c>
      <c r="B28" s="22" t="s">
        <v>57</v>
      </c>
      <c r="C28" s="11" t="s">
        <v>6</v>
      </c>
      <c r="D28" s="14">
        <v>45789</v>
      </c>
      <c r="E28" s="12">
        <v>50000</v>
      </c>
      <c r="F28" s="10" t="s">
        <v>16</v>
      </c>
      <c r="G28" s="13"/>
    </row>
    <row r="29" spans="1:7" ht="17.25">
      <c r="A29" s="27">
        <f t="shared" si="0"/>
        <v>25</v>
      </c>
      <c r="B29" s="28" t="s">
        <v>53</v>
      </c>
      <c r="C29" s="28" t="s">
        <v>54</v>
      </c>
      <c r="D29" s="29">
        <v>45833</v>
      </c>
      <c r="E29" s="30"/>
      <c r="F29" s="27" t="s">
        <v>16</v>
      </c>
      <c r="G29" s="31"/>
    </row>
    <row r="30" spans="1:7" ht="17.25">
      <c r="A30" s="25">
        <f t="shared" si="0"/>
        <v>26</v>
      </c>
      <c r="B30" s="22" t="s">
        <v>25</v>
      </c>
      <c r="C30" s="11" t="s">
        <v>13</v>
      </c>
      <c r="D30" s="14">
        <v>45725</v>
      </c>
      <c r="E30" s="12">
        <v>150000</v>
      </c>
      <c r="F30" s="10" t="s">
        <v>16</v>
      </c>
      <c r="G30" s="13">
        <v>51828521</v>
      </c>
    </row>
    <row r="31" spans="1:7" ht="17.25">
      <c r="A31" s="10">
        <f t="shared" si="0"/>
        <v>27</v>
      </c>
      <c r="B31" s="22" t="s">
        <v>29</v>
      </c>
      <c r="C31" s="11" t="s">
        <v>7</v>
      </c>
      <c r="D31" s="14">
        <v>45398</v>
      </c>
      <c r="E31" s="12">
        <v>60000</v>
      </c>
      <c r="F31" s="10" t="s">
        <v>16</v>
      </c>
      <c r="G31" s="13">
        <v>61627233</v>
      </c>
    </row>
    <row r="32" spans="1:7" ht="17.25">
      <c r="A32" s="10">
        <f t="shared" si="0"/>
        <v>28</v>
      </c>
      <c r="B32" s="22" t="s">
        <v>42</v>
      </c>
      <c r="C32" s="11" t="s">
        <v>9</v>
      </c>
      <c r="D32" s="14">
        <v>45766</v>
      </c>
      <c r="E32" s="12">
        <v>200000</v>
      </c>
      <c r="F32" s="10" t="s">
        <v>16</v>
      </c>
      <c r="G32" s="13">
        <v>96774998</v>
      </c>
    </row>
    <row r="33" spans="1:7" ht="17.25">
      <c r="A33" s="10">
        <f t="shared" si="0"/>
        <v>29</v>
      </c>
      <c r="B33" s="22" t="s">
        <v>41</v>
      </c>
      <c r="C33" s="11" t="s">
        <v>14</v>
      </c>
      <c r="D33" s="10"/>
      <c r="E33" s="12">
        <v>40000</v>
      </c>
      <c r="F33" s="10" t="s">
        <v>16</v>
      </c>
      <c r="G33" s="13">
        <v>40661624</v>
      </c>
    </row>
    <row r="34" spans="1:7" s="21" customFormat="1" ht="19.5">
      <c r="A34" s="54" t="s">
        <v>19</v>
      </c>
      <c r="B34" s="56"/>
      <c r="C34" s="18"/>
      <c r="D34" s="9"/>
      <c r="E34" s="19">
        <f>SUM(E5:E33)</f>
        <v>2100000</v>
      </c>
      <c r="F34" s="20"/>
      <c r="G34" s="20"/>
    </row>
  </sheetData>
  <mergeCells count="3">
    <mergeCell ref="A1:G1"/>
    <mergeCell ref="A2:G2"/>
    <mergeCell ref="A34:B34"/>
  </mergeCells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6:G43"/>
  <sheetViews>
    <sheetView showGridLines="0" view="pageBreakPreview" topLeftCell="A17" zoomScale="130" zoomScaleSheetLayoutView="130" workbookViewId="0">
      <selection activeCell="E26" sqref="E26"/>
    </sheetView>
  </sheetViews>
  <sheetFormatPr baseColWidth="10" defaultRowHeight="15"/>
  <cols>
    <col min="1" max="1" width="4.42578125" customWidth="1"/>
    <col min="2" max="2" width="27.42578125" style="3" bestFit="1" customWidth="1"/>
    <col min="3" max="3" width="15.42578125" style="3" bestFit="1" customWidth="1"/>
    <col min="4" max="4" width="14.7109375" style="4" customWidth="1"/>
    <col min="5" max="5" width="15.140625" style="8" bestFit="1" customWidth="1"/>
    <col min="6" max="6" width="13.7109375" bestFit="1" customWidth="1"/>
    <col min="7" max="7" width="18.140625" style="41" bestFit="1" customWidth="1"/>
  </cols>
  <sheetData>
    <row r="6" spans="1:7" ht="20.25">
      <c r="A6" s="48" t="s">
        <v>1</v>
      </c>
      <c r="B6" s="48"/>
      <c r="C6" s="48"/>
      <c r="D6" s="48"/>
      <c r="E6" s="48"/>
      <c r="F6" s="48"/>
      <c r="G6" s="48"/>
    </row>
    <row r="7" spans="1:7" ht="15.75" customHeight="1">
      <c r="A7" s="1"/>
      <c r="B7" s="2"/>
      <c r="C7" s="2"/>
      <c r="D7" s="6"/>
      <c r="E7" s="7"/>
      <c r="F7" s="1"/>
      <c r="G7" s="40"/>
    </row>
    <row r="8" spans="1:7" s="5" customFormat="1" ht="31.5">
      <c r="A8" s="34" t="s">
        <v>23</v>
      </c>
      <c r="B8" s="34" t="s">
        <v>43</v>
      </c>
      <c r="C8" s="34" t="s">
        <v>2</v>
      </c>
      <c r="D8" s="35" t="s">
        <v>3</v>
      </c>
      <c r="E8" s="36" t="s">
        <v>4</v>
      </c>
      <c r="F8" s="34" t="s">
        <v>10</v>
      </c>
      <c r="G8" s="37" t="s">
        <v>18</v>
      </c>
    </row>
    <row r="9" spans="1:7" s="5" customFormat="1" ht="18">
      <c r="A9" s="49" t="s">
        <v>59</v>
      </c>
      <c r="B9" s="50"/>
      <c r="C9" s="50"/>
      <c r="D9" s="50"/>
      <c r="E9" s="50"/>
      <c r="F9" s="50"/>
      <c r="G9" s="51"/>
    </row>
    <row r="10" spans="1:7" ht="21" customHeight="1">
      <c r="A10" s="10">
        <v>1</v>
      </c>
      <c r="B10" s="22" t="s">
        <v>24</v>
      </c>
      <c r="C10" s="22" t="s">
        <v>17</v>
      </c>
      <c r="D10" s="25"/>
      <c r="E10" s="24">
        <v>500000</v>
      </c>
      <c r="F10" s="25" t="s">
        <v>16</v>
      </c>
      <c r="G10" s="38" t="s">
        <v>69</v>
      </c>
    </row>
    <row r="11" spans="1:7" ht="21" customHeight="1">
      <c r="A11" s="10">
        <f t="shared" ref="A11:A16" si="0">1+A10</f>
        <v>2</v>
      </c>
      <c r="B11" s="22" t="s">
        <v>26</v>
      </c>
      <c r="C11" s="22" t="s">
        <v>15</v>
      </c>
      <c r="D11" s="23">
        <v>45793</v>
      </c>
      <c r="E11" s="24">
        <v>100000</v>
      </c>
      <c r="F11" s="25" t="s">
        <v>16</v>
      </c>
      <c r="G11" s="38" t="s">
        <v>70</v>
      </c>
    </row>
    <row r="12" spans="1:7" ht="21" customHeight="1">
      <c r="A12" s="10">
        <f t="shared" si="0"/>
        <v>3</v>
      </c>
      <c r="B12" s="42" t="s">
        <v>55</v>
      </c>
      <c r="C12" s="42" t="s">
        <v>56</v>
      </c>
      <c r="D12" s="43">
        <v>45834</v>
      </c>
      <c r="E12" s="44">
        <v>0</v>
      </c>
      <c r="F12" s="45" t="s">
        <v>99</v>
      </c>
      <c r="G12" s="46" t="s">
        <v>71</v>
      </c>
    </row>
    <row r="13" spans="1:7" ht="21" customHeight="1">
      <c r="A13" s="10">
        <f t="shared" si="0"/>
        <v>4</v>
      </c>
      <c r="B13" s="22" t="s">
        <v>53</v>
      </c>
      <c r="C13" s="22" t="s">
        <v>54</v>
      </c>
      <c r="D13" s="23">
        <v>45833</v>
      </c>
      <c r="E13" s="24">
        <v>50000</v>
      </c>
      <c r="F13" s="25" t="s">
        <v>58</v>
      </c>
      <c r="G13" s="38" t="s">
        <v>72</v>
      </c>
    </row>
    <row r="14" spans="1:7" ht="21" customHeight="1">
      <c r="A14" s="10">
        <f t="shared" si="0"/>
        <v>5</v>
      </c>
      <c r="B14" s="22" t="s">
        <v>25</v>
      </c>
      <c r="C14" s="11" t="s">
        <v>13</v>
      </c>
      <c r="D14" s="14">
        <v>45725</v>
      </c>
      <c r="E14" s="12">
        <v>100000</v>
      </c>
      <c r="F14" s="10" t="s">
        <v>16</v>
      </c>
      <c r="G14" s="39" t="s">
        <v>73</v>
      </c>
    </row>
    <row r="15" spans="1:7" ht="21" customHeight="1">
      <c r="A15" s="10">
        <f t="shared" si="0"/>
        <v>6</v>
      </c>
      <c r="B15" s="22" t="s">
        <v>42</v>
      </c>
      <c r="C15" s="11" t="s">
        <v>9</v>
      </c>
      <c r="D15" s="14">
        <v>45766</v>
      </c>
      <c r="E15" s="12">
        <v>70000</v>
      </c>
      <c r="F15" s="10" t="s">
        <v>16</v>
      </c>
      <c r="G15" s="39" t="s">
        <v>74</v>
      </c>
    </row>
    <row r="16" spans="1:7" ht="21" customHeight="1">
      <c r="A16" s="10">
        <f t="shared" si="0"/>
        <v>7</v>
      </c>
      <c r="B16" s="22" t="s">
        <v>41</v>
      </c>
      <c r="C16" s="11" t="s">
        <v>14</v>
      </c>
      <c r="D16" s="10"/>
      <c r="E16" s="12">
        <v>40000</v>
      </c>
      <c r="F16" s="10" t="s">
        <v>16</v>
      </c>
      <c r="G16" s="39" t="s">
        <v>75</v>
      </c>
    </row>
    <row r="17" spans="1:7" s="33" customFormat="1" ht="17.25">
      <c r="A17" s="52" t="s">
        <v>62</v>
      </c>
      <c r="B17" s="52"/>
      <c r="C17" s="52"/>
      <c r="D17" s="52"/>
      <c r="E17" s="32">
        <f>SUM(E10:E16)</f>
        <v>860000</v>
      </c>
      <c r="F17" s="53"/>
      <c r="G17" s="53"/>
    </row>
    <row r="18" spans="1:7" ht="18">
      <c r="A18" s="49" t="s">
        <v>60</v>
      </c>
      <c r="B18" s="50"/>
      <c r="C18" s="50"/>
      <c r="D18" s="50"/>
      <c r="E18" s="50"/>
      <c r="F18" s="50"/>
      <c r="G18" s="51"/>
    </row>
    <row r="19" spans="1:7" ht="21" customHeight="1">
      <c r="A19" s="10">
        <f>1+A16</f>
        <v>8</v>
      </c>
      <c r="B19" s="22" t="s">
        <v>28</v>
      </c>
      <c r="C19" s="22" t="s">
        <v>12</v>
      </c>
      <c r="D19" s="25"/>
      <c r="E19" s="24">
        <v>60000</v>
      </c>
      <c r="F19" s="25" t="s">
        <v>16</v>
      </c>
      <c r="G19" s="38" t="s">
        <v>76</v>
      </c>
    </row>
    <row r="20" spans="1:7" ht="21" customHeight="1">
      <c r="A20" s="10">
        <f>1+A19</f>
        <v>9</v>
      </c>
      <c r="B20" s="42" t="s">
        <v>32</v>
      </c>
      <c r="C20" s="42" t="s">
        <v>6</v>
      </c>
      <c r="D20" s="43">
        <v>45794</v>
      </c>
      <c r="E20" s="44">
        <v>0</v>
      </c>
      <c r="F20" s="45" t="s">
        <v>98</v>
      </c>
      <c r="G20" s="46" t="s">
        <v>77</v>
      </c>
    </row>
    <row r="21" spans="1:7" ht="21" customHeight="1">
      <c r="A21" s="10">
        <f>1+A20</f>
        <v>10</v>
      </c>
      <c r="B21" s="22" t="s">
        <v>40</v>
      </c>
      <c r="C21" s="22" t="s">
        <v>22</v>
      </c>
      <c r="D21" s="23"/>
      <c r="E21" s="24">
        <v>40000</v>
      </c>
      <c r="F21" s="25" t="s">
        <v>16</v>
      </c>
      <c r="G21" s="38" t="s">
        <v>78</v>
      </c>
    </row>
    <row r="22" spans="1:7" ht="21" customHeight="1">
      <c r="A22" s="10">
        <f>1+A21</f>
        <v>11</v>
      </c>
      <c r="B22" s="42" t="s">
        <v>57</v>
      </c>
      <c r="C22" s="42" t="s">
        <v>6</v>
      </c>
      <c r="D22" s="43">
        <v>45789</v>
      </c>
      <c r="E22" s="44">
        <v>0</v>
      </c>
      <c r="F22" s="45" t="s">
        <v>98</v>
      </c>
      <c r="G22" s="46"/>
    </row>
    <row r="23" spans="1:7" ht="17.25">
      <c r="A23" s="52" t="s">
        <v>63</v>
      </c>
      <c r="B23" s="52"/>
      <c r="C23" s="52"/>
      <c r="D23" s="52"/>
      <c r="E23" s="32">
        <f>SUM(E19:E22)</f>
        <v>100000</v>
      </c>
      <c r="F23" s="53"/>
      <c r="G23" s="53"/>
    </row>
    <row r="24" spans="1:7" ht="18">
      <c r="A24" s="49" t="s">
        <v>61</v>
      </c>
      <c r="B24" s="50"/>
      <c r="C24" s="50"/>
      <c r="D24" s="50"/>
      <c r="E24" s="50"/>
      <c r="F24" s="50"/>
      <c r="G24" s="51"/>
    </row>
    <row r="25" spans="1:7" ht="21" customHeight="1">
      <c r="A25" s="10">
        <f>1+A22</f>
        <v>12</v>
      </c>
      <c r="B25" s="22" t="s">
        <v>66</v>
      </c>
      <c r="C25" s="22" t="s">
        <v>5</v>
      </c>
      <c r="D25" s="23">
        <v>45843</v>
      </c>
      <c r="E25" s="24">
        <v>40000</v>
      </c>
      <c r="F25" s="25" t="s">
        <v>45</v>
      </c>
      <c r="G25" s="38" t="s">
        <v>92</v>
      </c>
    </row>
    <row r="26" spans="1:7" ht="21" customHeight="1">
      <c r="A26" s="10">
        <f t="shared" ref="A26:A40" si="1">1+A25</f>
        <v>13</v>
      </c>
      <c r="B26" s="22" t="s">
        <v>50</v>
      </c>
      <c r="C26" s="22" t="s">
        <v>8</v>
      </c>
      <c r="D26" s="23">
        <v>45813</v>
      </c>
      <c r="E26" s="24">
        <v>40000</v>
      </c>
      <c r="F26" s="25" t="s">
        <v>45</v>
      </c>
      <c r="G26" s="38" t="s">
        <v>79</v>
      </c>
    </row>
    <row r="27" spans="1:7" ht="21" customHeight="1">
      <c r="A27" s="10">
        <f t="shared" si="1"/>
        <v>14</v>
      </c>
      <c r="B27" s="42" t="s">
        <v>39</v>
      </c>
      <c r="C27" s="42" t="s">
        <v>8</v>
      </c>
      <c r="D27" s="43">
        <v>45743</v>
      </c>
      <c r="E27" s="44">
        <v>0</v>
      </c>
      <c r="F27" s="45" t="s">
        <v>96</v>
      </c>
      <c r="G27" s="46" t="s">
        <v>80</v>
      </c>
    </row>
    <row r="28" spans="1:7" ht="21" customHeight="1">
      <c r="A28" s="10">
        <f t="shared" si="1"/>
        <v>15</v>
      </c>
      <c r="B28" s="42" t="s">
        <v>49</v>
      </c>
      <c r="C28" s="42" t="s">
        <v>5</v>
      </c>
      <c r="D28" s="43">
        <v>45811</v>
      </c>
      <c r="E28" s="44">
        <v>0</v>
      </c>
      <c r="F28" s="45" t="s">
        <v>99</v>
      </c>
      <c r="G28" s="46" t="s">
        <v>81</v>
      </c>
    </row>
    <row r="29" spans="1:7" ht="21" customHeight="1">
      <c r="A29" s="10">
        <f t="shared" si="1"/>
        <v>16</v>
      </c>
      <c r="B29" s="22" t="s">
        <v>44</v>
      </c>
      <c r="C29" s="22" t="s">
        <v>6</v>
      </c>
      <c r="D29" s="23">
        <v>45776</v>
      </c>
      <c r="E29" s="24">
        <v>40000</v>
      </c>
      <c r="F29" s="25" t="s">
        <v>16</v>
      </c>
      <c r="G29" s="38" t="s">
        <v>82</v>
      </c>
    </row>
    <row r="30" spans="1:7" ht="21" customHeight="1">
      <c r="A30" s="10">
        <f t="shared" si="1"/>
        <v>17</v>
      </c>
      <c r="B30" s="22" t="s">
        <v>48</v>
      </c>
      <c r="C30" s="22" t="s">
        <v>51</v>
      </c>
      <c r="D30" s="23">
        <v>45799</v>
      </c>
      <c r="E30" s="24">
        <v>50000</v>
      </c>
      <c r="F30" s="25" t="s">
        <v>45</v>
      </c>
      <c r="G30" s="38" t="s">
        <v>83</v>
      </c>
    </row>
    <row r="31" spans="1:7" ht="21" customHeight="1">
      <c r="A31" s="10">
        <f t="shared" si="1"/>
        <v>18</v>
      </c>
      <c r="B31" s="22" t="s">
        <v>94</v>
      </c>
      <c r="C31" s="22" t="s">
        <v>5</v>
      </c>
      <c r="D31" s="23">
        <v>45847</v>
      </c>
      <c r="E31" s="24">
        <v>40000</v>
      </c>
      <c r="F31" s="25" t="s">
        <v>45</v>
      </c>
      <c r="G31" s="38" t="s">
        <v>95</v>
      </c>
    </row>
    <row r="32" spans="1:7" ht="21" customHeight="1">
      <c r="A32" s="10">
        <f t="shared" si="1"/>
        <v>19</v>
      </c>
      <c r="B32" s="22" t="s">
        <v>67</v>
      </c>
      <c r="C32" s="22" t="s">
        <v>5</v>
      </c>
      <c r="D32" s="23">
        <v>45843</v>
      </c>
      <c r="E32" s="24">
        <v>40000</v>
      </c>
      <c r="F32" s="25" t="s">
        <v>45</v>
      </c>
      <c r="G32" s="38" t="s">
        <v>93</v>
      </c>
    </row>
    <row r="33" spans="1:7" ht="21" customHeight="1">
      <c r="A33" s="10">
        <f t="shared" si="1"/>
        <v>20</v>
      </c>
      <c r="B33" s="22" t="s">
        <v>52</v>
      </c>
      <c r="C33" s="22" t="s">
        <v>5</v>
      </c>
      <c r="D33" s="23">
        <v>45819</v>
      </c>
      <c r="E33" s="24">
        <v>40000</v>
      </c>
      <c r="F33" s="25" t="s">
        <v>45</v>
      </c>
      <c r="G33" s="38" t="s">
        <v>84</v>
      </c>
    </row>
    <row r="34" spans="1:7" ht="21" customHeight="1">
      <c r="A34" s="10">
        <f t="shared" si="1"/>
        <v>21</v>
      </c>
      <c r="B34" s="22" t="s">
        <v>38</v>
      </c>
      <c r="C34" s="22" t="s">
        <v>11</v>
      </c>
      <c r="D34" s="23">
        <v>45802</v>
      </c>
      <c r="E34" s="24">
        <v>40000</v>
      </c>
      <c r="F34" s="25" t="s">
        <v>45</v>
      </c>
      <c r="G34" s="38" t="s">
        <v>86</v>
      </c>
    </row>
    <row r="35" spans="1:7" ht="21" customHeight="1">
      <c r="A35" s="10">
        <f t="shared" si="1"/>
        <v>22</v>
      </c>
      <c r="B35" s="42" t="s">
        <v>68</v>
      </c>
      <c r="C35" s="42" t="s">
        <v>5</v>
      </c>
      <c r="D35" s="43">
        <v>45842</v>
      </c>
      <c r="E35" s="44">
        <v>0</v>
      </c>
      <c r="F35" s="45" t="s">
        <v>98</v>
      </c>
      <c r="G35" s="46" t="s">
        <v>85</v>
      </c>
    </row>
    <row r="36" spans="1:7" ht="21" customHeight="1">
      <c r="A36" s="10">
        <f t="shared" si="1"/>
        <v>23</v>
      </c>
      <c r="B36" s="22" t="s">
        <v>46</v>
      </c>
      <c r="C36" s="22" t="s">
        <v>21</v>
      </c>
      <c r="D36" s="23">
        <v>45791</v>
      </c>
      <c r="E36" s="24">
        <v>50000</v>
      </c>
      <c r="F36" s="25" t="s">
        <v>45</v>
      </c>
      <c r="G36" s="38" t="s">
        <v>87</v>
      </c>
    </row>
    <row r="37" spans="1:7" ht="21" customHeight="1">
      <c r="A37" s="10">
        <f t="shared" si="1"/>
        <v>24</v>
      </c>
      <c r="B37" s="42" t="s">
        <v>31</v>
      </c>
      <c r="C37" s="42" t="s">
        <v>6</v>
      </c>
      <c r="D37" s="43">
        <v>45743</v>
      </c>
      <c r="E37" s="44">
        <v>0</v>
      </c>
      <c r="F37" s="45" t="s">
        <v>97</v>
      </c>
      <c r="G37" s="46" t="s">
        <v>88</v>
      </c>
    </row>
    <row r="38" spans="1:7" ht="21" customHeight="1">
      <c r="A38" s="10">
        <f t="shared" si="1"/>
        <v>25</v>
      </c>
      <c r="B38" s="22" t="s">
        <v>36</v>
      </c>
      <c r="C38" s="22" t="s">
        <v>5</v>
      </c>
      <c r="D38" s="23">
        <v>45791</v>
      </c>
      <c r="E38" s="24">
        <v>40000</v>
      </c>
      <c r="F38" s="25" t="s">
        <v>45</v>
      </c>
      <c r="G38" s="38" t="s">
        <v>89</v>
      </c>
    </row>
    <row r="39" spans="1:7" ht="21" customHeight="1">
      <c r="A39" s="10">
        <f t="shared" si="1"/>
        <v>26</v>
      </c>
      <c r="B39" s="22" t="s">
        <v>27</v>
      </c>
      <c r="C39" s="22" t="s">
        <v>20</v>
      </c>
      <c r="D39" s="23">
        <v>45809</v>
      </c>
      <c r="E39" s="24">
        <v>50000</v>
      </c>
      <c r="F39" s="25" t="s">
        <v>45</v>
      </c>
      <c r="G39" s="38" t="s">
        <v>90</v>
      </c>
    </row>
    <row r="40" spans="1:7" ht="21" customHeight="1">
      <c r="A40" s="10">
        <f t="shared" si="1"/>
        <v>27</v>
      </c>
      <c r="B40" s="22" t="s">
        <v>29</v>
      </c>
      <c r="C40" s="11" t="s">
        <v>7</v>
      </c>
      <c r="D40" s="14">
        <v>45398</v>
      </c>
      <c r="E40" s="12">
        <v>50000</v>
      </c>
      <c r="F40" s="10" t="s">
        <v>16</v>
      </c>
      <c r="G40" s="39" t="s">
        <v>91</v>
      </c>
    </row>
    <row r="41" spans="1:7" ht="17.25">
      <c r="A41" s="52" t="s">
        <v>64</v>
      </c>
      <c r="B41" s="52"/>
      <c r="C41" s="52"/>
      <c r="D41" s="52"/>
      <c r="E41" s="32">
        <f>SUM(E25:E40)</f>
        <v>520000</v>
      </c>
      <c r="F41" s="57"/>
      <c r="G41" s="58"/>
    </row>
    <row r="42" spans="1:7" s="21" customFormat="1" ht="19.5">
      <c r="A42" s="54" t="s">
        <v>65</v>
      </c>
      <c r="B42" s="55"/>
      <c r="C42" s="55"/>
      <c r="D42" s="56"/>
      <c r="E42" s="19">
        <f>+E17+E23+E41</f>
        <v>1480000</v>
      </c>
      <c r="F42" s="59"/>
      <c r="G42" s="60"/>
    </row>
    <row r="43" spans="1:7" ht="34.5" customHeight="1">
      <c r="A43" s="47"/>
      <c r="B43" s="47"/>
      <c r="C43" s="47"/>
      <c r="D43" s="47"/>
      <c r="E43" s="47"/>
      <c r="F43" s="47"/>
      <c r="G43" s="47"/>
    </row>
  </sheetData>
  <mergeCells count="12">
    <mergeCell ref="A24:G24"/>
    <mergeCell ref="A41:D41"/>
    <mergeCell ref="F41:G42"/>
    <mergeCell ref="A42:D42"/>
    <mergeCell ref="A43:G43"/>
    <mergeCell ref="A6:G6"/>
    <mergeCell ref="A9:G9"/>
    <mergeCell ref="A17:D17"/>
    <mergeCell ref="F17:G17"/>
    <mergeCell ref="A18:G18"/>
    <mergeCell ref="A23:D23"/>
    <mergeCell ref="F23:G2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PERSONNEL</vt:lpstr>
      <vt:lpstr>PERSONNEL (2)</vt:lpstr>
      <vt:lpstr>PERSONNEL (3)</vt:lpstr>
      <vt:lpstr>PERSONNEL!Zone_d_impression</vt:lpstr>
      <vt:lpstr>'PERSONNEL (3)'!Zone_d_impression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2025-07-30T09:24:03Z</cp:lastPrinted>
  <dcterms:created xsi:type="dcterms:W3CDTF">2005-12-31T23:35:27Z</dcterms:created>
  <dcterms:modified xsi:type="dcterms:W3CDTF">2025-07-30T09:59:59Z</dcterms:modified>
</cp:coreProperties>
</file>